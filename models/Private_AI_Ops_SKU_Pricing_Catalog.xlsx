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 Catalog" sheetId="1" state="visible" r:id="rId3"/>
    <sheet name="Vertical Packages" sheetId="2" state="visible" r:id="rId4"/>
    <sheet name="Margin Reference" sheetId="3" state="visible" r:id="rId5"/>
    <sheet name="Rate Card (Client-Facing)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Assumption: delivery hours are directional estimates, not measured data. Replace with actual time-tracking once the business has 60-90 days of engagement history.</t>
        </r>
      </text>
    </comment>
    <comment ref="E6" authorId="0">
      <text>
        <r>
          <rPr>
            <sz val="10"/>
            <rFont val="Arial"/>
            <family val="2"/>
          </rPr>
          <t xml:space="preserve">Assumption: $75/hr blended labor rate reflects founder opportunity cost at current stage. Revisit once contractor/employee costs are actually incurred.</t>
        </r>
      </text>
    </comment>
    <comment ref="G6" authorId="0">
      <text>
        <r>
          <rPr>
            <sz val="10"/>
            <rFont val="Arial"/>
            <family val="2"/>
          </rPr>
          <t xml:space="preserve">Assumption: COGS figures are drawn from the companion Tech Infrastructure &amp; Startup Cost Inventory (Claude API usage + tooling), allocated per client/SKU. Update as actual usage data accrues.</t>
        </r>
      </text>
    </comment>
  </commentList>
</comments>
</file>

<file path=xl/sharedStrings.xml><?xml version="1.0" encoding="utf-8"?>
<sst xmlns="http://schemas.openxmlformats.org/spreadsheetml/2006/main" count="283" uniqueCount="188">
  <si>
    <t xml:space="preserve">PRIVATE AI OPS</t>
  </si>
  <si>
    <t xml:space="preserve">SKU &amp; Pricing Catalog</t>
  </si>
  <si>
    <t xml:space="preserve">Master service/product list — September 2026</t>
  </si>
  <si>
    <t xml:space="preserve">SKU Code</t>
  </si>
  <si>
    <t xml:space="preserve">Product / Service Name</t>
  </si>
  <si>
    <t xml:space="preserve">Category</t>
  </si>
  <si>
    <t xml:space="preserve">Applicable Vertical(s)</t>
  </si>
  <si>
    <t xml:space="preserve">Pricing Type</t>
  </si>
  <si>
    <t xml:space="preserve">Price – Low</t>
  </si>
  <si>
    <t xml:space="preserve">Price – High</t>
  </si>
  <si>
    <t xml:space="preserve">Billing Unit / Cadence</t>
  </si>
  <si>
    <t xml:space="preserve">Typical Client Profile</t>
  </si>
  <si>
    <t xml:space="preserve">Notes</t>
  </si>
  <si>
    <t xml:space="preserve">PAO-ASM-STD</t>
  </si>
  <si>
    <t xml:space="preserve">AI Ops Assessment (Standard)</t>
  </si>
  <si>
    <t xml:space="preserve">Assessment</t>
  </si>
  <si>
    <t xml:space="preserve">All verticals</t>
  </si>
  <si>
    <t xml:space="preserve">One-time</t>
  </si>
  <si>
    <t xml:space="preserve">One-time, due at engagement start</t>
  </si>
  <si>
    <t xml:space="preserve">Single-location SMB, straightforward workflow scope</t>
  </si>
  <si>
    <t xml:space="preserve">Waived if client signs Managed Onboarding within 30 days</t>
  </si>
  <si>
    <t xml:space="preserve">PAO-ASM-CPX</t>
  </si>
  <si>
    <t xml:space="preserve">AI Ops Assessment (Complex / Regulated)</t>
  </si>
  <si>
    <t xml:space="preserve">Law, Dental/Healthcare</t>
  </si>
  <si>
    <t xml:space="preserve">Multi-location or regulated-vertical SMB</t>
  </si>
  <si>
    <t xml:space="preserve">PAO-ONB-SM</t>
  </si>
  <si>
    <t xml:space="preserve">Managed AI Onboarding (Small SMB)</t>
  </si>
  <si>
    <t xml:space="preserve">Onboarding</t>
  </si>
  <si>
    <t xml:space="preserve">One-time, milestone or 50/50 split</t>
  </si>
  <si>
    <t xml:space="preserve">Single-location SMB, 1–3 workflows in scope</t>
  </si>
  <si>
    <t xml:space="preserve">Entry gate into the managed retainer relationship</t>
  </si>
  <si>
    <t xml:space="preserve">PAO-ONB-CPX</t>
  </si>
  <si>
    <t xml:space="preserve">Managed AI Onboarding (Complex / Regulated)</t>
  </si>
  <si>
    <t xml:space="preserve">Law, Dental/Healthcare, Property Mgmt</t>
  </si>
  <si>
    <t xml:space="preserve">Multi-location, regulated, or multi-workflow SMB</t>
  </si>
  <si>
    <t xml:space="preserve">Includes BAA/DPA execution, security/access configuration</t>
  </si>
  <si>
    <t xml:space="preserve">PAO-RET-SM</t>
  </si>
  <si>
    <t xml:space="preserve">Managed AI Ops Retainer (Small SMB)</t>
  </si>
  <si>
    <t xml:space="preserve">Retainer</t>
  </si>
  <si>
    <t xml:space="preserve">Recurring</t>
  </si>
  <si>
    <t xml:space="preserve">Monthly, auto-billed</t>
  </si>
  <si>
    <t xml:space="preserve">Single-location SMB, 1–2 active workflows</t>
  </si>
  <si>
    <t xml:space="preserve">Core recurring revenue line</t>
  </si>
  <si>
    <t xml:space="preserve">PAO-RET-MX</t>
  </si>
  <si>
    <t xml:space="preserve">Managed AI Ops Retainer (Multi-location / Regulated)</t>
  </si>
  <si>
    <t xml:space="preserve">Multi-location or regulated SMB, 3+ active workflows</t>
  </si>
  <si>
    <t xml:space="preserve">Includes governance updates, usage analytics</t>
  </si>
  <si>
    <t xml:space="preserve">PAO-RET-HV</t>
  </si>
  <si>
    <t xml:space="preserve">Managed AI Ops Retainer (Heavy / Custom Environment)</t>
  </si>
  <si>
    <t xml:space="preserve">Complex multi-workflow environment or heavy infra usage</t>
  </si>
  <si>
    <t xml:space="preserve">Paired with a Private AI Infrastructure add-on in most cases</t>
  </si>
  <si>
    <t xml:space="preserve">PAO-INF-END</t>
  </si>
  <si>
    <t xml:space="preserve">Private AI Infrastructure — Private Endpoint</t>
  </si>
  <si>
    <t xml:space="preserve">Infrastructure Add-on</t>
  </si>
  <si>
    <t xml:space="preserve">Recurring add-on</t>
  </si>
  <si>
    <t xml:space="preserve">Monthly, add-on to Retainer</t>
  </si>
  <si>
    <t xml:space="preserve">Client needs isolated inference, not full HIPAA scope</t>
  </si>
  <si>
    <t xml:space="preserve">Not sold standalone — requires an active Retainer</t>
  </si>
  <si>
    <t xml:space="preserve">PAO-INF-BAA</t>
  </si>
  <si>
    <t xml:space="preserve">Private AI Infrastructure — HIPAA-Ready / BAA-Supported Endpoint</t>
  </si>
  <si>
    <t xml:space="preserve">Dental/Healthcare, Law</t>
  </si>
  <si>
    <t xml:space="preserve">Client requires BAA-supported, audit-friendly endpoint</t>
  </si>
  <si>
    <t xml:space="preserve">Legal template execution required before activation</t>
  </si>
  <si>
    <t xml:space="preserve">PAO-INF-RAG</t>
  </si>
  <si>
    <t xml:space="preserve">Private AI Infrastructure — Dual GPU + RAG</t>
  </si>
  <si>
    <t xml:space="preserve">Law, Property Mgmt</t>
  </si>
  <si>
    <t xml:space="preserve">Document-heavy workflows needing dedicated retrieval</t>
  </si>
  <si>
    <t xml:space="preserve">Requires Phase 2 GPU infrastructure to be deployed</t>
  </si>
  <si>
    <t xml:space="preserve">PAO-INF-MGD</t>
  </si>
  <si>
    <t xml:space="preserve">Private AI Infrastructure — Managed Private AI Environment</t>
  </si>
  <si>
    <t xml:space="preserve">Enterprise-leaning SMB or multi-entity client</t>
  </si>
  <si>
    <t xml:space="preserve">Highest infra tier; scope and price set case-by-case above range</t>
  </si>
  <si>
    <t xml:space="preserve">PAO-FREE-LAW</t>
  </si>
  <si>
    <t xml:space="preserve">Law Brief — Intake Summary / Case Chronology Generator</t>
  </si>
  <si>
    <t xml:space="preserve">Free Tool</t>
  </si>
  <si>
    <t xml:space="preserve">Law</t>
  </si>
  <si>
    <t xml:space="preserve">Free</t>
  </si>
  <si>
    <t xml:space="preserve">N/A — lead generation</t>
  </si>
  <si>
    <t xml:space="preserve">Prospective law firm client, top of funnel</t>
  </si>
  <si>
    <t xml:space="preserve">Distribution and qualification tool, not a revenue SKU</t>
  </si>
  <si>
    <t xml:space="preserve">PAO-FREE-DEN</t>
  </si>
  <si>
    <t xml:space="preserve">Dental Brief — Recall Campaign Generator</t>
  </si>
  <si>
    <t xml:space="preserve">Dental/Healthcare</t>
  </si>
  <si>
    <t xml:space="preserve">Prospective dental practice client, top of funnel</t>
  </si>
  <si>
    <t xml:space="preserve">PAO-FREE-PROP</t>
  </si>
  <si>
    <t xml:space="preserve">Property Brief — Lease Renewal Letter Generator</t>
  </si>
  <si>
    <t xml:space="preserve">Property Mgmt</t>
  </si>
  <si>
    <t xml:space="preserve">Prospective property management client, top of funnel</t>
  </si>
  <si>
    <t xml:space="preserve">PAO-FREE-CHTR</t>
  </si>
  <si>
    <t xml:space="preserve">Charter Brief — Pre-Trip Guest Brief Generator</t>
  </si>
  <si>
    <t xml:space="preserve">Marine/Charter</t>
  </si>
  <si>
    <t xml:space="preserve">Prospective charter operator client, top of funnel</t>
  </si>
  <si>
    <t xml:space="preserve">PAO-PRO-STD</t>
  </si>
  <si>
    <t xml:space="preserve">Pro Tier Subscription</t>
  </si>
  <si>
    <t xml:space="preserve">Validation Tier</t>
  </si>
  <si>
    <t xml:space="preserve">All verticals (per free-tool app)</t>
  </si>
  <si>
    <t xml:space="preserve">Monthly, self-serve billing</t>
  </si>
  <si>
    <t xml:space="preserve">High-intent free-tool user not yet ready for a retainer</t>
  </si>
  <si>
    <t xml:space="preserve">Validation layer, not the primary revenue engine</t>
  </si>
  <si>
    <t xml:space="preserve">Legend:</t>
  </si>
  <si>
    <t xml:space="preserve">Blue text = hardcoded price input</t>
  </si>
  <si>
    <t xml:space="preserve">Prices are current list pricing as of Sept 2026 — confirm before quoting a specific client.</t>
  </si>
  <si>
    <t xml:space="preserve">Recommended Vertical Packages</t>
  </si>
  <si>
    <t xml:space="preserve">Bundled SKUs by vertical, with Year-1 contract value estimate</t>
  </si>
  <si>
    <t xml:space="preserve">Vertical</t>
  </si>
  <si>
    <t xml:space="preserve">Package</t>
  </si>
  <si>
    <t xml:space="preserve">Included SKUs</t>
  </si>
  <si>
    <t xml:space="preserve">Onboarding SKU</t>
  </si>
  <si>
    <t xml:space="preserve">Onboarding Low</t>
  </si>
  <si>
    <t xml:space="preserve">Onboarding High</t>
  </si>
  <si>
    <t xml:space="preserve">Retainer SKU</t>
  </si>
  <si>
    <t xml:space="preserve">Retainer Low (mo)</t>
  </si>
  <si>
    <t xml:space="preserve">Retainer High (mo)</t>
  </si>
  <si>
    <t xml:space="preserve">Infra Add-on SKU</t>
  </si>
  <si>
    <t xml:space="preserve">Infra Low (mo)</t>
  </si>
  <si>
    <t xml:space="preserve">Infra High (mo)</t>
  </si>
  <si>
    <t xml:space="preserve">Est. Year-1 TCV – Low</t>
  </si>
  <si>
    <t xml:space="preserve">Est. Year-1 TCV – High</t>
  </si>
  <si>
    <t xml:space="preserve">Law Firms</t>
  </si>
  <si>
    <t xml:space="preserve">Starter</t>
  </si>
  <si>
    <t xml:space="preserve">PAO-ONB-SM + PAO-RET-SM</t>
  </si>
  <si>
    <t xml:space="preserve">—</t>
  </si>
  <si>
    <t xml:space="preserve">Growth (Privilege-Sensitive)</t>
  </si>
  <si>
    <t xml:space="preserve">PAO-ONB-CPX + PAO-RET-MX + PAO-INF-END</t>
  </si>
  <si>
    <t xml:space="preserve">Dental / Healthcare</t>
  </si>
  <si>
    <t xml:space="preserve">Growth (HIPAA-Ready)</t>
  </si>
  <si>
    <t xml:space="preserve">PAO-ONB-CPX + PAO-RET-MX + PAO-INF-BAA</t>
  </si>
  <si>
    <t xml:space="preserve">Property Management</t>
  </si>
  <si>
    <t xml:space="preserve">Growth (Portfolio Scale)</t>
  </si>
  <si>
    <t xml:space="preserve">PAO-ONB-CPX + PAO-RET-MX + PAO-INF-RAG</t>
  </si>
  <si>
    <t xml:space="preserve">Marine / Charter</t>
  </si>
  <si>
    <t xml:space="preserve">Growth (Multi-Vessel)</t>
  </si>
  <si>
    <t xml:space="preserve">PAO-ONB-CPX + PAO-RET-MX</t>
  </si>
  <si>
    <t xml:space="preserve">Est. Year-1 TCV = Onboarding fee + (monthly Retainer + monthly Infra add-on) × 12. Green cells are formulas pulling live prices from the SKU Catalog tab — update prices there, not here.</t>
  </si>
  <si>
    <t xml:space="preserve">Directional Margin Reference by SKU Category</t>
  </si>
  <si>
    <t xml:space="preserve">Assumption-based — replace with actual time-tracking once operating</t>
  </si>
  <si>
    <t xml:space="preserve">Price (midpoint)</t>
  </si>
  <si>
    <t xml:space="preserve">Est. Delivery Hours</t>
  </si>
  <si>
    <t xml:space="preserve">Blended Labor Rate ($/hr)</t>
  </si>
  <si>
    <t xml:space="preserve">Labor Cost</t>
  </si>
  <si>
    <t xml:space="preserve">Est. Monthly/One-Time COGS (API + tooling)</t>
  </si>
  <si>
    <t xml:space="preserve">Total Cost</t>
  </si>
  <si>
    <t xml:space="preserve">Gross Margin ($)</t>
  </si>
  <si>
    <t xml:space="preserve">Gross Margin (%)</t>
  </si>
  <si>
    <t xml:space="preserve">All yellow-highlighted inputs (hours, labor rate, COGS) are founder-supplied assumptions, not measured actuals. Margins here are directional and intended to sanity-check pricing — not a substitute for the full financial model.</t>
  </si>
  <si>
    <t xml:space="preserve">Managed AI Operations — Rate Card</t>
  </si>
  <si>
    <t xml:space="preserve">Private, secure AI workflows for privacy-sensitive SMBs — pricing effective September 2026</t>
  </si>
  <si>
    <t xml:space="preserve">AI Ops Assessment</t>
  </si>
  <si>
    <t xml:space="preserve">Standard</t>
  </si>
  <si>
    <t xml:space="preserve">$500 – $1,500</t>
  </si>
  <si>
    <t xml:space="preserve">Workflow discovery and automation roadmap for a single-location SMB. Waived if you proceed to onboarding.</t>
  </si>
  <si>
    <t xml:space="preserve">Complex / Regulated</t>
  </si>
  <si>
    <t xml:space="preserve">$1,500 – $2,500</t>
  </si>
  <si>
    <t xml:space="preserve">For multi-location or regulated practices (law, dental/healthcare). Waived if you proceed to onboarding.</t>
  </si>
  <si>
    <t xml:space="preserve">Managed AI Onboarding</t>
  </si>
  <si>
    <t xml:space="preserve">Small SMB</t>
  </si>
  <si>
    <t xml:space="preserve">$3,500 – $10,000</t>
  </si>
  <si>
    <t xml:space="preserve">Full workflow build-out: process mapping, prompt architecture, tool configuration, staff training, first workflow launch.</t>
  </si>
  <si>
    <t xml:space="preserve">$10,000 – $25,000</t>
  </si>
  <si>
    <t xml:space="preserve">Includes BAA/DPA execution and security/access configuration for multi-location or regulated clients.</t>
  </si>
  <si>
    <t xml:space="preserve">Managed AI Ops Retainer (monthly)</t>
  </si>
  <si>
    <t xml:space="preserve">$1,500 – $3,000 / mo</t>
  </si>
  <si>
    <t xml:space="preserve">Ongoing workflow maintenance, prompt tuning, monitoring, reporting, staff support.</t>
  </si>
  <si>
    <t xml:space="preserve">Multi-location / Regulated</t>
  </si>
  <si>
    <t xml:space="preserve">$3,000 – $7,500 / mo</t>
  </si>
  <si>
    <t xml:space="preserve">Adds governance updates and usage analytics across multiple workflows or locations.</t>
  </si>
  <si>
    <t xml:space="preserve">Heavy / Custom Environment</t>
  </si>
  <si>
    <t xml:space="preserve">$7,500+ / mo</t>
  </si>
  <si>
    <t xml:space="preserve">For complex, multi-workflow environments, typically paired with a private infrastructure add-on.</t>
  </si>
  <si>
    <t xml:space="preserve">Private AI Infrastructure (add-on to an active Retainer)</t>
  </si>
  <si>
    <t xml:space="preserve">Private Endpoint</t>
  </si>
  <si>
    <t xml:space="preserve">$650 / mo</t>
  </si>
  <si>
    <t xml:space="preserve">Dedicated, isolated inference endpoint.</t>
  </si>
  <si>
    <t xml:space="preserve">HIPAA-Ready / BAA-Supported Endpoint</t>
  </si>
  <si>
    <t xml:space="preserve">$850 / mo</t>
  </si>
  <si>
    <t xml:space="preserve">BAA-supported, audit-friendly endpoint for regulated workflows.</t>
  </si>
  <si>
    <t xml:space="preserve">Dual GPU + RAG</t>
  </si>
  <si>
    <t xml:space="preserve">$1,400 / mo</t>
  </si>
  <si>
    <t xml:space="preserve">Dedicated retrieval-augmented environment for document-heavy workflows.</t>
  </si>
  <si>
    <t xml:space="preserve">Managed Private AI Environment</t>
  </si>
  <si>
    <t xml:space="preserve">$2,200+ / mo</t>
  </si>
  <si>
    <t xml:space="preserve">Highest tier — scoped and priced case-by-case for larger environments.</t>
  </si>
  <si>
    <t xml:space="preserve">Try It First</t>
  </si>
  <si>
    <t xml:space="preserve">Free vertical tools</t>
  </si>
  <si>
    <t xml:space="preserve">Law Brief, Dental Brief, Property Brief, Charter Brief — one narrow workflow, no cost.</t>
  </si>
  <si>
    <t xml:space="preserve">Pro Tier</t>
  </si>
  <si>
    <t xml:space="preserve">$49 – $199 / mo</t>
  </si>
  <si>
    <t xml:space="preserve">Self-serve validation tier tied to a free vertical tool, ahead of a full retainer engagement.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</si>
</sst>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A84C"/>
      <name val="Arial"/>
      <family val="0"/>
      <charset val="1"/>
    </font>
    <font>
      <b val="true"/>
      <sz val="18"/>
      <color rgb="FF0F1C35"/>
      <name val="Arial"/>
      <family val="0"/>
      <charset val="1"/>
    </font>
    <font>
      <i val="true"/>
      <sz val="11"/>
      <color rgb="FF5A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2"/>
      <color rgb="FFC9A84C"/>
      <name val="Arial"/>
      <family val="0"/>
      <charset val="1"/>
    </font>
    <font>
      <b val="true"/>
      <sz val="20"/>
      <color rgb="FF0F1C35"/>
      <name val="Arial"/>
      <family val="0"/>
      <charset val="1"/>
    </font>
    <font>
      <b val="true"/>
      <sz val="13"/>
      <color rgb="FF0F1C35"/>
      <name val="Arial"/>
      <family val="0"/>
      <charset val="1"/>
    </font>
    <font>
      <b val="true"/>
      <sz val="11"/>
      <color rgb="FF0F1C3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C35"/>
        <bgColor rgb="FF222222"/>
      </patternFill>
    </fill>
    <fill>
      <patternFill patternType="solid">
        <fgColor rgb="FFF2F2F2"/>
        <bgColor rgb="FFFF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666666"/>
      <rgbColor rgb="FF9999FF"/>
      <rgbColor rgb="FF993366"/>
      <rgbColor rgb="FFFFFF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C9A84C"/>
      <rgbColor rgb="FF0F1C35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22"/>
    <col collapsed="false" customWidth="true" hidden="false" outlineLevel="0" max="9" min="9" style="0" width="30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s">
        <v>13</v>
      </c>
      <c r="B6" s="6" t="s">
        <v>14</v>
      </c>
      <c r="C6" s="6" t="s">
        <v>15</v>
      </c>
      <c r="D6" s="6" t="s">
        <v>16</v>
      </c>
      <c r="E6" s="6" t="s">
        <v>17</v>
      </c>
      <c r="F6" s="7" t="n">
        <v>500</v>
      </c>
      <c r="G6" s="7" t="n">
        <v>1500</v>
      </c>
      <c r="H6" s="6" t="s">
        <v>18</v>
      </c>
      <c r="I6" s="6" t="s">
        <v>19</v>
      </c>
      <c r="J6" s="6" t="s">
        <v>20</v>
      </c>
    </row>
    <row r="7" customFormat="false" ht="23.85" hidden="false" customHeight="false" outlineLevel="0" collapsed="false">
      <c r="A7" s="8" t="s">
        <v>21</v>
      </c>
      <c r="B7" s="9" t="s">
        <v>22</v>
      </c>
      <c r="C7" s="9" t="s">
        <v>15</v>
      </c>
      <c r="D7" s="9" t="s">
        <v>23</v>
      </c>
      <c r="E7" s="9" t="s">
        <v>17</v>
      </c>
      <c r="F7" s="10" t="n">
        <v>1500</v>
      </c>
      <c r="G7" s="10" t="n">
        <v>2500</v>
      </c>
      <c r="H7" s="9" t="s">
        <v>18</v>
      </c>
      <c r="I7" s="9" t="s">
        <v>24</v>
      </c>
      <c r="J7" s="9" t="s">
        <v>20</v>
      </c>
    </row>
    <row r="8" customFormat="false" ht="23.85" hidden="false" customHeight="false" outlineLevel="0" collapsed="false">
      <c r="A8" s="5" t="s">
        <v>25</v>
      </c>
      <c r="B8" s="6" t="s">
        <v>26</v>
      </c>
      <c r="C8" s="6" t="s">
        <v>27</v>
      </c>
      <c r="D8" s="6" t="s">
        <v>16</v>
      </c>
      <c r="E8" s="6" t="s">
        <v>17</v>
      </c>
      <c r="F8" s="7" t="n">
        <v>3500</v>
      </c>
      <c r="G8" s="7" t="n">
        <v>10000</v>
      </c>
      <c r="H8" s="6" t="s">
        <v>28</v>
      </c>
      <c r="I8" s="6" t="s">
        <v>29</v>
      </c>
      <c r="J8" s="6" t="s">
        <v>30</v>
      </c>
    </row>
    <row r="9" customFormat="false" ht="23.85" hidden="false" customHeight="false" outlineLevel="0" collapsed="false">
      <c r="A9" s="8" t="s">
        <v>31</v>
      </c>
      <c r="B9" s="9" t="s">
        <v>32</v>
      </c>
      <c r="C9" s="9" t="s">
        <v>27</v>
      </c>
      <c r="D9" s="9" t="s">
        <v>33</v>
      </c>
      <c r="E9" s="9" t="s">
        <v>17</v>
      </c>
      <c r="F9" s="10" t="n">
        <v>10000</v>
      </c>
      <c r="G9" s="10" t="n">
        <v>25000</v>
      </c>
      <c r="H9" s="9" t="s">
        <v>28</v>
      </c>
      <c r="I9" s="9" t="s">
        <v>34</v>
      </c>
      <c r="J9" s="9" t="s">
        <v>35</v>
      </c>
    </row>
    <row r="10" customFormat="false" ht="23.85" hidden="false" customHeight="false" outlineLevel="0" collapsed="false">
      <c r="A10" s="5" t="s">
        <v>36</v>
      </c>
      <c r="B10" s="6" t="s">
        <v>37</v>
      </c>
      <c r="C10" s="6" t="s">
        <v>38</v>
      </c>
      <c r="D10" s="6" t="s">
        <v>16</v>
      </c>
      <c r="E10" s="6" t="s">
        <v>39</v>
      </c>
      <c r="F10" s="7" t="n">
        <v>1500</v>
      </c>
      <c r="G10" s="7" t="n">
        <v>3000</v>
      </c>
      <c r="H10" s="6" t="s">
        <v>40</v>
      </c>
      <c r="I10" s="6" t="s">
        <v>41</v>
      </c>
      <c r="J10" s="6" t="s">
        <v>42</v>
      </c>
    </row>
    <row r="11" customFormat="false" ht="23.85" hidden="false" customHeight="false" outlineLevel="0" collapsed="false">
      <c r="A11" s="8" t="s">
        <v>43</v>
      </c>
      <c r="B11" s="9" t="s">
        <v>44</v>
      </c>
      <c r="C11" s="9" t="s">
        <v>38</v>
      </c>
      <c r="D11" s="9" t="s">
        <v>33</v>
      </c>
      <c r="E11" s="9" t="s">
        <v>39</v>
      </c>
      <c r="F11" s="10" t="n">
        <v>3000</v>
      </c>
      <c r="G11" s="10" t="n">
        <v>7500</v>
      </c>
      <c r="H11" s="9" t="s">
        <v>40</v>
      </c>
      <c r="I11" s="9" t="s">
        <v>45</v>
      </c>
      <c r="J11" s="9" t="s">
        <v>46</v>
      </c>
    </row>
    <row r="12" customFormat="false" ht="23.85" hidden="false" customHeight="false" outlineLevel="0" collapsed="false">
      <c r="A12" s="5" t="s">
        <v>47</v>
      </c>
      <c r="B12" s="6" t="s">
        <v>48</v>
      </c>
      <c r="C12" s="6" t="s">
        <v>38</v>
      </c>
      <c r="D12" s="6" t="s">
        <v>16</v>
      </c>
      <c r="E12" s="6" t="s">
        <v>39</v>
      </c>
      <c r="F12" s="7" t="n">
        <v>7500</v>
      </c>
      <c r="G12" s="7" t="n">
        <v>12000</v>
      </c>
      <c r="H12" s="6" t="s">
        <v>40</v>
      </c>
      <c r="I12" s="6" t="s">
        <v>49</v>
      </c>
      <c r="J12" s="6" t="s">
        <v>50</v>
      </c>
    </row>
    <row r="13" customFormat="false" ht="23.85" hidden="false" customHeight="false" outlineLevel="0" collapsed="false">
      <c r="A13" s="8" t="s">
        <v>51</v>
      </c>
      <c r="B13" s="9" t="s">
        <v>52</v>
      </c>
      <c r="C13" s="9" t="s">
        <v>53</v>
      </c>
      <c r="D13" s="9" t="s">
        <v>16</v>
      </c>
      <c r="E13" s="9" t="s">
        <v>54</v>
      </c>
      <c r="F13" s="10" t="n">
        <v>650</v>
      </c>
      <c r="G13" s="10" t="n">
        <v>650</v>
      </c>
      <c r="H13" s="9" t="s">
        <v>55</v>
      </c>
      <c r="I13" s="9" t="s">
        <v>56</v>
      </c>
      <c r="J13" s="9" t="s">
        <v>57</v>
      </c>
    </row>
    <row r="14" customFormat="false" ht="23.85" hidden="false" customHeight="false" outlineLevel="0" collapsed="false">
      <c r="A14" s="5" t="s">
        <v>58</v>
      </c>
      <c r="B14" s="6" t="s">
        <v>59</v>
      </c>
      <c r="C14" s="6" t="s">
        <v>53</v>
      </c>
      <c r="D14" s="6" t="s">
        <v>60</v>
      </c>
      <c r="E14" s="6" t="s">
        <v>54</v>
      </c>
      <c r="F14" s="7" t="n">
        <v>850</v>
      </c>
      <c r="G14" s="7" t="n">
        <v>850</v>
      </c>
      <c r="H14" s="6" t="s">
        <v>55</v>
      </c>
      <c r="I14" s="6" t="s">
        <v>61</v>
      </c>
      <c r="J14" s="6" t="s">
        <v>62</v>
      </c>
    </row>
    <row r="15" customFormat="false" ht="23.85" hidden="false" customHeight="false" outlineLevel="0" collapsed="false">
      <c r="A15" s="8" t="s">
        <v>63</v>
      </c>
      <c r="B15" s="9" t="s">
        <v>64</v>
      </c>
      <c r="C15" s="9" t="s">
        <v>53</v>
      </c>
      <c r="D15" s="9" t="s">
        <v>65</v>
      </c>
      <c r="E15" s="9" t="s">
        <v>54</v>
      </c>
      <c r="F15" s="10" t="n">
        <v>1400</v>
      </c>
      <c r="G15" s="10" t="n">
        <v>1400</v>
      </c>
      <c r="H15" s="9" t="s">
        <v>55</v>
      </c>
      <c r="I15" s="9" t="s">
        <v>66</v>
      </c>
      <c r="J15" s="9" t="s">
        <v>67</v>
      </c>
    </row>
    <row r="16" customFormat="false" ht="23.85" hidden="false" customHeight="false" outlineLevel="0" collapsed="false">
      <c r="A16" s="5" t="s">
        <v>68</v>
      </c>
      <c r="B16" s="6" t="s">
        <v>69</v>
      </c>
      <c r="C16" s="6" t="s">
        <v>53</v>
      </c>
      <c r="D16" s="6" t="s">
        <v>16</v>
      </c>
      <c r="E16" s="6" t="s">
        <v>54</v>
      </c>
      <c r="F16" s="7" t="n">
        <v>2200</v>
      </c>
      <c r="G16" s="7" t="n">
        <v>3500</v>
      </c>
      <c r="H16" s="6" t="s">
        <v>55</v>
      </c>
      <c r="I16" s="6" t="s">
        <v>70</v>
      </c>
      <c r="J16" s="6" t="s">
        <v>71</v>
      </c>
    </row>
    <row r="17" customFormat="false" ht="23.85" hidden="false" customHeight="false" outlineLevel="0" collapsed="false">
      <c r="A17" s="8" t="s">
        <v>72</v>
      </c>
      <c r="B17" s="9" t="s">
        <v>73</v>
      </c>
      <c r="C17" s="9" t="s">
        <v>74</v>
      </c>
      <c r="D17" s="9" t="s">
        <v>75</v>
      </c>
      <c r="E17" s="9" t="s">
        <v>76</v>
      </c>
      <c r="F17" s="10" t="n">
        <v>0</v>
      </c>
      <c r="G17" s="10" t="n">
        <v>0</v>
      </c>
      <c r="H17" s="9" t="s">
        <v>77</v>
      </c>
      <c r="I17" s="9" t="s">
        <v>78</v>
      </c>
      <c r="J17" s="9" t="s">
        <v>79</v>
      </c>
    </row>
    <row r="18" customFormat="false" ht="23.85" hidden="false" customHeight="false" outlineLevel="0" collapsed="false">
      <c r="A18" s="5" t="s">
        <v>80</v>
      </c>
      <c r="B18" s="6" t="s">
        <v>81</v>
      </c>
      <c r="C18" s="6" t="s">
        <v>74</v>
      </c>
      <c r="D18" s="6" t="s">
        <v>82</v>
      </c>
      <c r="E18" s="6" t="s">
        <v>76</v>
      </c>
      <c r="F18" s="7" t="n">
        <v>0</v>
      </c>
      <c r="G18" s="7" t="n">
        <v>0</v>
      </c>
      <c r="H18" s="6" t="s">
        <v>77</v>
      </c>
      <c r="I18" s="6" t="s">
        <v>83</v>
      </c>
      <c r="J18" s="6" t="s">
        <v>79</v>
      </c>
    </row>
    <row r="19" customFormat="false" ht="23.85" hidden="false" customHeight="false" outlineLevel="0" collapsed="false">
      <c r="A19" s="8" t="s">
        <v>84</v>
      </c>
      <c r="B19" s="9" t="s">
        <v>85</v>
      </c>
      <c r="C19" s="9" t="s">
        <v>74</v>
      </c>
      <c r="D19" s="9" t="s">
        <v>86</v>
      </c>
      <c r="E19" s="9" t="s">
        <v>76</v>
      </c>
      <c r="F19" s="10" t="n">
        <v>0</v>
      </c>
      <c r="G19" s="10" t="n">
        <v>0</v>
      </c>
      <c r="H19" s="9" t="s">
        <v>77</v>
      </c>
      <c r="I19" s="9" t="s">
        <v>87</v>
      </c>
      <c r="J19" s="9" t="s">
        <v>79</v>
      </c>
    </row>
    <row r="20" customFormat="false" ht="23.85" hidden="false" customHeight="false" outlineLevel="0" collapsed="false">
      <c r="A20" s="5" t="s">
        <v>88</v>
      </c>
      <c r="B20" s="6" t="s">
        <v>89</v>
      </c>
      <c r="C20" s="6" t="s">
        <v>74</v>
      </c>
      <c r="D20" s="6" t="s">
        <v>90</v>
      </c>
      <c r="E20" s="6" t="s">
        <v>76</v>
      </c>
      <c r="F20" s="7" t="n">
        <v>0</v>
      </c>
      <c r="G20" s="7" t="n">
        <v>0</v>
      </c>
      <c r="H20" s="6" t="s">
        <v>77</v>
      </c>
      <c r="I20" s="6" t="s">
        <v>91</v>
      </c>
      <c r="J20" s="6" t="s">
        <v>79</v>
      </c>
    </row>
    <row r="21" customFormat="false" ht="23.85" hidden="false" customHeight="false" outlineLevel="0" collapsed="false">
      <c r="A21" s="8" t="s">
        <v>92</v>
      </c>
      <c r="B21" s="9" t="s">
        <v>93</v>
      </c>
      <c r="C21" s="9" t="s">
        <v>94</v>
      </c>
      <c r="D21" s="9" t="s">
        <v>95</v>
      </c>
      <c r="E21" s="9" t="s">
        <v>39</v>
      </c>
      <c r="F21" s="10" t="n">
        <v>49</v>
      </c>
      <c r="G21" s="10" t="n">
        <v>199</v>
      </c>
      <c r="H21" s="9" t="s">
        <v>96</v>
      </c>
      <c r="I21" s="9" t="s">
        <v>97</v>
      </c>
      <c r="J21" s="9" t="s">
        <v>98</v>
      </c>
    </row>
    <row r="23" customFormat="false" ht="15" hidden="false" customHeight="false" outlineLevel="0" collapsed="false">
      <c r="A23" s="11" t="s">
        <v>99</v>
      </c>
    </row>
    <row r="24" customFormat="false" ht="15" hidden="false" customHeight="false" outlineLevel="0" collapsed="false">
      <c r="A24" s="12" t="s">
        <v>100</v>
      </c>
    </row>
    <row r="25" customFormat="false" ht="15" hidden="false" customHeight="false" outlineLevel="0" collapsed="false">
      <c r="A25" s="13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4" min="13" style="0" width="14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102</v>
      </c>
    </row>
    <row r="3" customFormat="false" ht="15" hidden="false" customHeight="false" outlineLevel="0" collapsed="false">
      <c r="A3" s="3" t="s">
        <v>103</v>
      </c>
    </row>
    <row r="5" customFormat="false" ht="39.55" hidden="false" customHeight="false" outlineLevel="0" collapsed="false">
      <c r="A5" s="4" t="s">
        <v>104</v>
      </c>
      <c r="B5" s="4" t="s">
        <v>105</v>
      </c>
      <c r="C5" s="4" t="s">
        <v>106</v>
      </c>
      <c r="D5" s="4" t="s">
        <v>107</v>
      </c>
      <c r="E5" s="4" t="s">
        <v>108</v>
      </c>
      <c r="F5" s="4" t="s">
        <v>109</v>
      </c>
      <c r="G5" s="4" t="s">
        <v>110</v>
      </c>
      <c r="H5" s="4" t="s">
        <v>111</v>
      </c>
      <c r="I5" s="4" t="s">
        <v>112</v>
      </c>
      <c r="J5" s="4" t="s">
        <v>113</v>
      </c>
      <c r="K5" s="4" t="s">
        <v>114</v>
      </c>
      <c r="L5" s="4" t="s">
        <v>115</v>
      </c>
      <c r="M5" s="4" t="s">
        <v>116</v>
      </c>
      <c r="N5" s="4" t="s">
        <v>117</v>
      </c>
    </row>
    <row r="6" customFormat="false" ht="15" hidden="false" customHeight="false" outlineLevel="0" collapsed="false">
      <c r="A6" s="6" t="s">
        <v>118</v>
      </c>
      <c r="B6" s="5" t="s">
        <v>119</v>
      </c>
      <c r="C6" s="6" t="s">
        <v>120</v>
      </c>
      <c r="D6" s="14" t="s">
        <v>25</v>
      </c>
      <c r="E6" s="15" t="n">
        <f aca="false">INDEX('SKU Catalog'!$F$6:$F$21,MATCH(D6,'SKU Catalog'!$A$6:$A$21,0))</f>
        <v>3500</v>
      </c>
      <c r="F6" s="15" t="n">
        <f aca="false">INDEX('SKU Catalog'!$G$6:$G$21,MATCH(D6,'SKU Catalog'!$A$6:$A$21,0))</f>
        <v>10000</v>
      </c>
      <c r="G6" s="14" t="s">
        <v>36</v>
      </c>
      <c r="H6" s="15" t="n">
        <f aca="false">INDEX('SKU Catalog'!$F$6:$F$21,MATCH(G6,'SKU Catalog'!$A$6:$A$21,0))</f>
        <v>1500</v>
      </c>
      <c r="I6" s="15" t="n">
        <f aca="false">INDEX('SKU Catalog'!$G$6:$G$21,MATCH(G6,'SKU Catalog'!$A$6:$A$21,0))</f>
        <v>3000</v>
      </c>
      <c r="J6" s="6" t="s">
        <v>121</v>
      </c>
      <c r="K6" s="7" t="n">
        <v>0</v>
      </c>
      <c r="L6" s="7" t="n">
        <v>0</v>
      </c>
      <c r="M6" s="16" t="n">
        <f aca="false">E6+(H6+K6)*12</f>
        <v>21500</v>
      </c>
      <c r="N6" s="16" t="n">
        <f aca="false">F6+(I6+L6)*12</f>
        <v>46000</v>
      </c>
    </row>
    <row r="7" customFormat="false" ht="23.85" hidden="false" customHeight="false" outlineLevel="0" collapsed="false">
      <c r="A7" s="9" t="s">
        <v>118</v>
      </c>
      <c r="B7" s="8" t="s">
        <v>122</v>
      </c>
      <c r="C7" s="9" t="s">
        <v>123</v>
      </c>
      <c r="D7" s="17" t="s">
        <v>31</v>
      </c>
      <c r="E7" s="18" t="n">
        <f aca="false">INDEX('SKU Catalog'!$F$6:$F$21,MATCH(D7,'SKU Catalog'!$A$6:$A$21,0))</f>
        <v>10000</v>
      </c>
      <c r="F7" s="18" t="n">
        <f aca="false">INDEX('SKU Catalog'!$G$6:$G$21,MATCH(D7,'SKU Catalog'!$A$6:$A$21,0))</f>
        <v>25000</v>
      </c>
      <c r="G7" s="17" t="s">
        <v>43</v>
      </c>
      <c r="H7" s="18" t="n">
        <f aca="false">INDEX('SKU Catalog'!$F$6:$F$21,MATCH(G7,'SKU Catalog'!$A$6:$A$21,0))</f>
        <v>3000</v>
      </c>
      <c r="I7" s="18" t="n">
        <f aca="false">INDEX('SKU Catalog'!$G$6:$G$21,MATCH(G7,'SKU Catalog'!$A$6:$A$21,0))</f>
        <v>7500</v>
      </c>
      <c r="J7" s="17" t="s">
        <v>51</v>
      </c>
      <c r="K7" s="18" t="n">
        <f aca="false">INDEX('SKU Catalog'!$F$6:$F$21,MATCH(J7,'SKU Catalog'!$A$6:$A$21,0))</f>
        <v>650</v>
      </c>
      <c r="L7" s="18" t="n">
        <f aca="false">INDEX('SKU Catalog'!$G$6:$G$21,MATCH(J7,'SKU Catalog'!$A$6:$A$21,0))</f>
        <v>650</v>
      </c>
      <c r="M7" s="19" t="n">
        <f aca="false">E7+(H7+K7)*12</f>
        <v>53800</v>
      </c>
      <c r="N7" s="19" t="n">
        <f aca="false">F7+(I7+L7)*12</f>
        <v>122800</v>
      </c>
    </row>
    <row r="8" customFormat="false" ht="15" hidden="false" customHeight="false" outlineLevel="0" collapsed="false">
      <c r="A8" s="6" t="s">
        <v>124</v>
      </c>
      <c r="B8" s="5" t="s">
        <v>119</v>
      </c>
      <c r="C8" s="6" t="s">
        <v>120</v>
      </c>
      <c r="D8" s="14" t="s">
        <v>25</v>
      </c>
      <c r="E8" s="15" t="n">
        <f aca="false">INDEX('SKU Catalog'!$F$6:$F$21,MATCH(D8,'SKU Catalog'!$A$6:$A$21,0))</f>
        <v>3500</v>
      </c>
      <c r="F8" s="15" t="n">
        <f aca="false">INDEX('SKU Catalog'!$G$6:$G$21,MATCH(D8,'SKU Catalog'!$A$6:$A$21,0))</f>
        <v>10000</v>
      </c>
      <c r="G8" s="14" t="s">
        <v>36</v>
      </c>
      <c r="H8" s="15" t="n">
        <f aca="false">INDEX('SKU Catalog'!$F$6:$F$21,MATCH(G8,'SKU Catalog'!$A$6:$A$21,0))</f>
        <v>1500</v>
      </c>
      <c r="I8" s="15" t="n">
        <f aca="false">INDEX('SKU Catalog'!$G$6:$G$21,MATCH(G8,'SKU Catalog'!$A$6:$A$21,0))</f>
        <v>3000</v>
      </c>
      <c r="J8" s="6" t="s">
        <v>121</v>
      </c>
      <c r="K8" s="7" t="n">
        <v>0</v>
      </c>
      <c r="L8" s="7" t="n">
        <v>0</v>
      </c>
      <c r="M8" s="16" t="n">
        <f aca="false">E8+(H8+K8)*12</f>
        <v>21500</v>
      </c>
      <c r="N8" s="16" t="n">
        <f aca="false">F8+(I8+L8)*12</f>
        <v>46000</v>
      </c>
    </row>
    <row r="9" customFormat="false" ht="23.85" hidden="false" customHeight="false" outlineLevel="0" collapsed="false">
      <c r="A9" s="9" t="s">
        <v>124</v>
      </c>
      <c r="B9" s="8" t="s">
        <v>125</v>
      </c>
      <c r="C9" s="9" t="s">
        <v>126</v>
      </c>
      <c r="D9" s="17" t="s">
        <v>31</v>
      </c>
      <c r="E9" s="18" t="n">
        <f aca="false">INDEX('SKU Catalog'!$F$6:$F$21,MATCH(D9,'SKU Catalog'!$A$6:$A$21,0))</f>
        <v>10000</v>
      </c>
      <c r="F9" s="18" t="n">
        <f aca="false">INDEX('SKU Catalog'!$G$6:$G$21,MATCH(D9,'SKU Catalog'!$A$6:$A$21,0))</f>
        <v>25000</v>
      </c>
      <c r="G9" s="17" t="s">
        <v>43</v>
      </c>
      <c r="H9" s="18" t="n">
        <f aca="false">INDEX('SKU Catalog'!$F$6:$F$21,MATCH(G9,'SKU Catalog'!$A$6:$A$21,0))</f>
        <v>3000</v>
      </c>
      <c r="I9" s="18" t="n">
        <f aca="false">INDEX('SKU Catalog'!$G$6:$G$21,MATCH(G9,'SKU Catalog'!$A$6:$A$21,0))</f>
        <v>7500</v>
      </c>
      <c r="J9" s="17" t="s">
        <v>58</v>
      </c>
      <c r="K9" s="18" t="n">
        <f aca="false">INDEX('SKU Catalog'!$F$6:$F$21,MATCH(J9,'SKU Catalog'!$A$6:$A$21,0))</f>
        <v>850</v>
      </c>
      <c r="L9" s="18" t="n">
        <f aca="false">INDEX('SKU Catalog'!$G$6:$G$21,MATCH(J9,'SKU Catalog'!$A$6:$A$21,0))</f>
        <v>850</v>
      </c>
      <c r="M9" s="19" t="n">
        <f aca="false">E9+(H9+K9)*12</f>
        <v>56200</v>
      </c>
      <c r="N9" s="19" t="n">
        <f aca="false">F9+(I9+L9)*12</f>
        <v>125200</v>
      </c>
    </row>
    <row r="10" customFormat="false" ht="23.85" hidden="false" customHeight="false" outlineLevel="0" collapsed="false">
      <c r="A10" s="6" t="s">
        <v>127</v>
      </c>
      <c r="B10" s="5" t="s">
        <v>119</v>
      </c>
      <c r="C10" s="6" t="s">
        <v>120</v>
      </c>
      <c r="D10" s="14" t="s">
        <v>25</v>
      </c>
      <c r="E10" s="15" t="n">
        <f aca="false">INDEX('SKU Catalog'!$F$6:$F$21,MATCH(D10,'SKU Catalog'!$A$6:$A$21,0))</f>
        <v>3500</v>
      </c>
      <c r="F10" s="15" t="n">
        <f aca="false">INDEX('SKU Catalog'!$G$6:$G$21,MATCH(D10,'SKU Catalog'!$A$6:$A$21,0))</f>
        <v>10000</v>
      </c>
      <c r="G10" s="14" t="s">
        <v>36</v>
      </c>
      <c r="H10" s="15" t="n">
        <f aca="false">INDEX('SKU Catalog'!$F$6:$F$21,MATCH(G10,'SKU Catalog'!$A$6:$A$21,0))</f>
        <v>1500</v>
      </c>
      <c r="I10" s="15" t="n">
        <f aca="false">INDEX('SKU Catalog'!$G$6:$G$21,MATCH(G10,'SKU Catalog'!$A$6:$A$21,0))</f>
        <v>3000</v>
      </c>
      <c r="J10" s="6" t="s">
        <v>121</v>
      </c>
      <c r="K10" s="7" t="n">
        <v>0</v>
      </c>
      <c r="L10" s="7" t="n">
        <v>0</v>
      </c>
      <c r="M10" s="16" t="n">
        <f aca="false">E10+(H10+K10)*12</f>
        <v>21500</v>
      </c>
      <c r="N10" s="16" t="n">
        <f aca="false">F10+(I10+L10)*12</f>
        <v>46000</v>
      </c>
    </row>
    <row r="11" customFormat="false" ht="23.85" hidden="false" customHeight="false" outlineLevel="0" collapsed="false">
      <c r="A11" s="9" t="s">
        <v>127</v>
      </c>
      <c r="B11" s="8" t="s">
        <v>128</v>
      </c>
      <c r="C11" s="9" t="s">
        <v>129</v>
      </c>
      <c r="D11" s="17" t="s">
        <v>31</v>
      </c>
      <c r="E11" s="18" t="n">
        <f aca="false">INDEX('SKU Catalog'!$F$6:$F$21,MATCH(D11,'SKU Catalog'!$A$6:$A$21,0))</f>
        <v>10000</v>
      </c>
      <c r="F11" s="18" t="n">
        <f aca="false">INDEX('SKU Catalog'!$G$6:$G$21,MATCH(D11,'SKU Catalog'!$A$6:$A$21,0))</f>
        <v>25000</v>
      </c>
      <c r="G11" s="17" t="s">
        <v>43</v>
      </c>
      <c r="H11" s="18" t="n">
        <f aca="false">INDEX('SKU Catalog'!$F$6:$F$21,MATCH(G11,'SKU Catalog'!$A$6:$A$21,0))</f>
        <v>3000</v>
      </c>
      <c r="I11" s="18" t="n">
        <f aca="false">INDEX('SKU Catalog'!$G$6:$G$21,MATCH(G11,'SKU Catalog'!$A$6:$A$21,0))</f>
        <v>7500</v>
      </c>
      <c r="J11" s="17" t="s">
        <v>63</v>
      </c>
      <c r="K11" s="18" t="n">
        <f aca="false">INDEX('SKU Catalog'!$F$6:$F$21,MATCH(J11,'SKU Catalog'!$A$6:$A$21,0))</f>
        <v>1400</v>
      </c>
      <c r="L11" s="18" t="n">
        <f aca="false">INDEX('SKU Catalog'!$G$6:$G$21,MATCH(J11,'SKU Catalog'!$A$6:$A$21,0))</f>
        <v>1400</v>
      </c>
      <c r="M11" s="19" t="n">
        <f aca="false">E11+(H11+K11)*12</f>
        <v>62800</v>
      </c>
      <c r="N11" s="19" t="n">
        <f aca="false">F11+(I11+L11)*12</f>
        <v>131800</v>
      </c>
    </row>
    <row r="12" customFormat="false" ht="15" hidden="false" customHeight="false" outlineLevel="0" collapsed="false">
      <c r="A12" s="6" t="s">
        <v>130</v>
      </c>
      <c r="B12" s="5" t="s">
        <v>119</v>
      </c>
      <c r="C12" s="6" t="s">
        <v>120</v>
      </c>
      <c r="D12" s="14" t="s">
        <v>25</v>
      </c>
      <c r="E12" s="15" t="n">
        <f aca="false">INDEX('SKU Catalog'!$F$6:$F$21,MATCH(D12,'SKU Catalog'!$A$6:$A$21,0))</f>
        <v>3500</v>
      </c>
      <c r="F12" s="15" t="n">
        <f aca="false">INDEX('SKU Catalog'!$G$6:$G$21,MATCH(D12,'SKU Catalog'!$A$6:$A$21,0))</f>
        <v>10000</v>
      </c>
      <c r="G12" s="14" t="s">
        <v>36</v>
      </c>
      <c r="H12" s="15" t="n">
        <f aca="false">INDEX('SKU Catalog'!$F$6:$F$21,MATCH(G12,'SKU Catalog'!$A$6:$A$21,0))</f>
        <v>1500</v>
      </c>
      <c r="I12" s="15" t="n">
        <f aca="false">INDEX('SKU Catalog'!$G$6:$G$21,MATCH(G12,'SKU Catalog'!$A$6:$A$21,0))</f>
        <v>3000</v>
      </c>
      <c r="J12" s="6" t="s">
        <v>121</v>
      </c>
      <c r="K12" s="7" t="n">
        <v>0</v>
      </c>
      <c r="L12" s="7" t="n">
        <v>0</v>
      </c>
      <c r="M12" s="16" t="n">
        <f aca="false">E12+(H12+K12)*12</f>
        <v>21500</v>
      </c>
      <c r="N12" s="16" t="n">
        <f aca="false">F12+(I12+L12)*12</f>
        <v>46000</v>
      </c>
    </row>
    <row r="13" customFormat="false" ht="23.85" hidden="false" customHeight="false" outlineLevel="0" collapsed="false">
      <c r="A13" s="9" t="s">
        <v>130</v>
      </c>
      <c r="B13" s="8" t="s">
        <v>131</v>
      </c>
      <c r="C13" s="9" t="s">
        <v>132</v>
      </c>
      <c r="D13" s="17" t="s">
        <v>31</v>
      </c>
      <c r="E13" s="18" t="n">
        <f aca="false">INDEX('SKU Catalog'!$F$6:$F$21,MATCH(D13,'SKU Catalog'!$A$6:$A$21,0))</f>
        <v>10000</v>
      </c>
      <c r="F13" s="18" t="n">
        <f aca="false">INDEX('SKU Catalog'!$G$6:$G$21,MATCH(D13,'SKU Catalog'!$A$6:$A$21,0))</f>
        <v>25000</v>
      </c>
      <c r="G13" s="17" t="s">
        <v>43</v>
      </c>
      <c r="H13" s="18" t="n">
        <f aca="false">INDEX('SKU Catalog'!$F$6:$F$21,MATCH(G13,'SKU Catalog'!$A$6:$A$21,0))</f>
        <v>3000</v>
      </c>
      <c r="I13" s="18" t="n">
        <f aca="false">INDEX('SKU Catalog'!$G$6:$G$21,MATCH(G13,'SKU Catalog'!$A$6:$A$21,0))</f>
        <v>7500</v>
      </c>
      <c r="J13" s="9" t="s">
        <v>121</v>
      </c>
      <c r="K13" s="10" t="n">
        <v>0</v>
      </c>
      <c r="L13" s="10" t="n">
        <v>0</v>
      </c>
      <c r="M13" s="19" t="n">
        <f aca="false">E13+(H13+K13)*12</f>
        <v>46000</v>
      </c>
      <c r="N13" s="19" t="n">
        <f aca="false">F13+(I13+L13)*12</f>
        <v>115000</v>
      </c>
    </row>
    <row r="15" customFormat="false" ht="15" hidden="false" customHeight="true" outlineLevel="0" collapsed="false">
      <c r="A15" s="20" t="s">
        <v>133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</sheetData>
  <mergeCells count="1">
    <mergeCell ref="A15:N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10" min="9" style="0" width="14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134</v>
      </c>
    </row>
    <row r="3" customFormat="false" ht="15" hidden="false" customHeight="false" outlineLevel="0" collapsed="false">
      <c r="A3" s="3" t="s">
        <v>135</v>
      </c>
    </row>
    <row r="5" customFormat="false" ht="26.85" hidden="false" customHeight="false" outlineLevel="0" collapsed="false">
      <c r="A5" s="4" t="s">
        <v>3</v>
      </c>
      <c r="B5" s="4" t="s">
        <v>5</v>
      </c>
      <c r="C5" s="4" t="s">
        <v>136</v>
      </c>
      <c r="D5" s="4" t="s">
        <v>137</v>
      </c>
      <c r="E5" s="4" t="s">
        <v>138</v>
      </c>
      <c r="F5" s="4" t="s">
        <v>139</v>
      </c>
      <c r="G5" s="4" t="s">
        <v>140</v>
      </c>
      <c r="H5" s="4" t="s">
        <v>141</v>
      </c>
      <c r="I5" s="4" t="s">
        <v>142</v>
      </c>
      <c r="J5" s="4" t="s">
        <v>143</v>
      </c>
    </row>
    <row r="6" customFormat="false" ht="15" hidden="false" customHeight="false" outlineLevel="0" collapsed="false">
      <c r="A6" s="21" t="s">
        <v>13</v>
      </c>
      <c r="B6" s="22" t="str">
        <f aca="false">INDEX('SKU Catalog'!$C$6:$C$21,MATCH(A6,'SKU Catalog'!$A$6:$A$21,0))</f>
        <v>Assessment</v>
      </c>
      <c r="C6" s="23" t="n">
        <f aca="false">AVERAGE(INDEX('SKU Catalog'!$F$6:$F$21,MATCH(A6,'SKU Catalog'!$A$6:$A$21,0)),INDEX('SKU Catalog'!$G$6:$G$21,MATCH(A6,'SKU Catalog'!$A$6:$A$21,0)))</f>
        <v>1000</v>
      </c>
      <c r="D6" s="24" t="n">
        <v>8</v>
      </c>
      <c r="E6" s="24" t="n">
        <v>75</v>
      </c>
      <c r="F6" s="25" t="n">
        <f aca="false">D6*E6</f>
        <v>600</v>
      </c>
      <c r="G6" s="26" t="n">
        <v>15</v>
      </c>
      <c r="H6" s="25" t="n">
        <f aca="false">F6+G6</f>
        <v>615</v>
      </c>
      <c r="I6" s="25" t="n">
        <f aca="false">C6-H6</f>
        <v>385</v>
      </c>
      <c r="J6" s="27" t="n">
        <f aca="false">IFERROR(I6/C6,0)</f>
        <v>0.385</v>
      </c>
    </row>
    <row r="7" customFormat="false" ht="15" hidden="false" customHeight="false" outlineLevel="0" collapsed="false">
      <c r="A7" s="28" t="s">
        <v>21</v>
      </c>
      <c r="B7" s="29" t="str">
        <f aca="false">INDEX('SKU Catalog'!$C$6:$C$21,MATCH(A7,'SKU Catalog'!$A$6:$A$21,0))</f>
        <v>Assessment</v>
      </c>
      <c r="C7" s="30" t="n">
        <f aca="false">AVERAGE(INDEX('SKU Catalog'!$F$6:$F$21,MATCH(A7,'SKU Catalog'!$A$6:$A$21,0)),INDEX('SKU Catalog'!$G$6:$G$21,MATCH(A7,'SKU Catalog'!$A$6:$A$21,0)))</f>
        <v>2000</v>
      </c>
      <c r="D7" s="24" t="n">
        <v>14</v>
      </c>
      <c r="E7" s="24" t="n">
        <v>75</v>
      </c>
      <c r="F7" s="31" t="n">
        <f aca="false">D7*E7</f>
        <v>1050</v>
      </c>
      <c r="G7" s="26" t="n">
        <v>25</v>
      </c>
      <c r="H7" s="31" t="n">
        <f aca="false">F7+G7</f>
        <v>1075</v>
      </c>
      <c r="I7" s="31" t="n">
        <f aca="false">C7-H7</f>
        <v>925</v>
      </c>
      <c r="J7" s="32" t="n">
        <f aca="false">IFERROR(I7/C7,0)</f>
        <v>0.4625</v>
      </c>
    </row>
    <row r="8" customFormat="false" ht="15" hidden="false" customHeight="false" outlineLevel="0" collapsed="false">
      <c r="A8" s="21" t="s">
        <v>25</v>
      </c>
      <c r="B8" s="22" t="str">
        <f aca="false">INDEX('SKU Catalog'!$C$6:$C$21,MATCH(A8,'SKU Catalog'!$A$6:$A$21,0))</f>
        <v>Onboarding</v>
      </c>
      <c r="C8" s="23" t="n">
        <f aca="false">AVERAGE(INDEX('SKU Catalog'!$F$6:$F$21,MATCH(A8,'SKU Catalog'!$A$6:$A$21,0)),INDEX('SKU Catalog'!$G$6:$G$21,MATCH(A8,'SKU Catalog'!$A$6:$A$21,0)))</f>
        <v>6750</v>
      </c>
      <c r="D8" s="24" t="n">
        <v>25</v>
      </c>
      <c r="E8" s="24" t="n">
        <v>75</v>
      </c>
      <c r="F8" s="25" t="n">
        <f aca="false">D8*E8</f>
        <v>1875</v>
      </c>
      <c r="G8" s="26" t="n">
        <v>40</v>
      </c>
      <c r="H8" s="25" t="n">
        <f aca="false">F8+G8</f>
        <v>1915</v>
      </c>
      <c r="I8" s="25" t="n">
        <f aca="false">C8-H8</f>
        <v>4835</v>
      </c>
      <c r="J8" s="27" t="n">
        <f aca="false">IFERROR(I8/C8,0)</f>
        <v>0.716296296296296</v>
      </c>
    </row>
    <row r="9" customFormat="false" ht="15" hidden="false" customHeight="false" outlineLevel="0" collapsed="false">
      <c r="A9" s="28" t="s">
        <v>31</v>
      </c>
      <c r="B9" s="29" t="str">
        <f aca="false">INDEX('SKU Catalog'!$C$6:$C$21,MATCH(A9,'SKU Catalog'!$A$6:$A$21,0))</f>
        <v>Onboarding</v>
      </c>
      <c r="C9" s="30" t="n">
        <f aca="false">AVERAGE(INDEX('SKU Catalog'!$F$6:$F$21,MATCH(A9,'SKU Catalog'!$A$6:$A$21,0)),INDEX('SKU Catalog'!$G$6:$G$21,MATCH(A9,'SKU Catalog'!$A$6:$A$21,0)))</f>
        <v>17500</v>
      </c>
      <c r="D9" s="24" t="n">
        <v>55</v>
      </c>
      <c r="E9" s="24" t="n">
        <v>75</v>
      </c>
      <c r="F9" s="31" t="n">
        <f aca="false">D9*E9</f>
        <v>4125</v>
      </c>
      <c r="G9" s="26" t="n">
        <v>100</v>
      </c>
      <c r="H9" s="31" t="n">
        <f aca="false">F9+G9</f>
        <v>4225</v>
      </c>
      <c r="I9" s="31" t="n">
        <f aca="false">C9-H9</f>
        <v>13275</v>
      </c>
      <c r="J9" s="32" t="n">
        <f aca="false">IFERROR(I9/C9,0)</f>
        <v>0.758571428571429</v>
      </c>
    </row>
    <row r="10" customFormat="false" ht="15" hidden="false" customHeight="false" outlineLevel="0" collapsed="false">
      <c r="A10" s="21" t="s">
        <v>36</v>
      </c>
      <c r="B10" s="22" t="str">
        <f aca="false">INDEX('SKU Catalog'!$C$6:$C$21,MATCH(A10,'SKU Catalog'!$A$6:$A$21,0))</f>
        <v>Retainer</v>
      </c>
      <c r="C10" s="23" t="n">
        <f aca="false">AVERAGE(INDEX('SKU Catalog'!$F$6:$F$21,MATCH(A10,'SKU Catalog'!$A$6:$A$21,0)),INDEX('SKU Catalog'!$G$6:$G$21,MATCH(A10,'SKU Catalog'!$A$6:$A$21,0)))</f>
        <v>2250</v>
      </c>
      <c r="D10" s="24" t="n">
        <v>6</v>
      </c>
      <c r="E10" s="24" t="n">
        <v>75</v>
      </c>
      <c r="F10" s="25" t="n">
        <f aca="false">D10*E10</f>
        <v>450</v>
      </c>
      <c r="G10" s="26" t="n">
        <v>15</v>
      </c>
      <c r="H10" s="25" t="n">
        <f aca="false">F10+G10</f>
        <v>465</v>
      </c>
      <c r="I10" s="25" t="n">
        <f aca="false">C10-H10</f>
        <v>1785</v>
      </c>
      <c r="J10" s="27" t="n">
        <f aca="false">IFERROR(I10/C10,0)</f>
        <v>0.793333333333333</v>
      </c>
    </row>
    <row r="11" customFormat="false" ht="15" hidden="false" customHeight="false" outlineLevel="0" collapsed="false">
      <c r="A11" s="28" t="s">
        <v>43</v>
      </c>
      <c r="B11" s="29" t="str">
        <f aca="false">INDEX('SKU Catalog'!$C$6:$C$21,MATCH(A11,'SKU Catalog'!$A$6:$A$21,0))</f>
        <v>Retainer</v>
      </c>
      <c r="C11" s="30" t="n">
        <f aca="false">AVERAGE(INDEX('SKU Catalog'!$F$6:$F$21,MATCH(A11,'SKU Catalog'!$A$6:$A$21,0)),INDEX('SKU Catalog'!$G$6:$G$21,MATCH(A11,'SKU Catalog'!$A$6:$A$21,0)))</f>
        <v>5250</v>
      </c>
      <c r="D11" s="24" t="n">
        <v>12</v>
      </c>
      <c r="E11" s="24" t="n">
        <v>75</v>
      </c>
      <c r="F11" s="31" t="n">
        <f aca="false">D11*E11</f>
        <v>900</v>
      </c>
      <c r="G11" s="26" t="n">
        <v>40</v>
      </c>
      <c r="H11" s="31" t="n">
        <f aca="false">F11+G11</f>
        <v>940</v>
      </c>
      <c r="I11" s="31" t="n">
        <f aca="false">C11-H11</f>
        <v>4310</v>
      </c>
      <c r="J11" s="32" t="n">
        <f aca="false">IFERROR(I11/C11,0)</f>
        <v>0.820952380952381</v>
      </c>
    </row>
    <row r="12" customFormat="false" ht="15" hidden="false" customHeight="false" outlineLevel="0" collapsed="false">
      <c r="A12" s="21" t="s">
        <v>47</v>
      </c>
      <c r="B12" s="22" t="str">
        <f aca="false">INDEX('SKU Catalog'!$C$6:$C$21,MATCH(A12,'SKU Catalog'!$A$6:$A$21,0))</f>
        <v>Retainer</v>
      </c>
      <c r="C12" s="23" t="n">
        <f aca="false">AVERAGE(INDEX('SKU Catalog'!$F$6:$F$21,MATCH(A12,'SKU Catalog'!$A$6:$A$21,0)),INDEX('SKU Catalog'!$G$6:$G$21,MATCH(A12,'SKU Catalog'!$A$6:$A$21,0)))</f>
        <v>9750</v>
      </c>
      <c r="D12" s="24" t="n">
        <v>20</v>
      </c>
      <c r="E12" s="24" t="n">
        <v>75</v>
      </c>
      <c r="F12" s="25" t="n">
        <f aca="false">D12*E12</f>
        <v>1500</v>
      </c>
      <c r="G12" s="26" t="n">
        <v>80</v>
      </c>
      <c r="H12" s="25" t="n">
        <f aca="false">F12+G12</f>
        <v>1580</v>
      </c>
      <c r="I12" s="25" t="n">
        <f aca="false">C12-H12</f>
        <v>8170</v>
      </c>
      <c r="J12" s="27" t="n">
        <f aca="false">IFERROR(I12/C12,0)</f>
        <v>0.837948717948718</v>
      </c>
    </row>
    <row r="13" customFormat="false" ht="15" hidden="false" customHeight="false" outlineLevel="0" collapsed="false">
      <c r="A13" s="28" t="s">
        <v>51</v>
      </c>
      <c r="B13" s="29" t="str">
        <f aca="false">INDEX('SKU Catalog'!$C$6:$C$21,MATCH(A13,'SKU Catalog'!$A$6:$A$21,0))</f>
        <v>Infrastructure Add-on</v>
      </c>
      <c r="C13" s="30" t="n">
        <f aca="false">AVERAGE(INDEX('SKU Catalog'!$F$6:$F$21,MATCH(A13,'SKU Catalog'!$A$6:$A$21,0)),INDEX('SKU Catalog'!$G$6:$G$21,MATCH(A13,'SKU Catalog'!$A$6:$A$21,0)))</f>
        <v>650</v>
      </c>
      <c r="D13" s="24" t="n">
        <v>2</v>
      </c>
      <c r="E13" s="24" t="n">
        <v>75</v>
      </c>
      <c r="F13" s="31" t="n">
        <f aca="false">D13*E13</f>
        <v>150</v>
      </c>
      <c r="G13" s="26" t="n">
        <v>90</v>
      </c>
      <c r="H13" s="31" t="n">
        <f aca="false">F13+G13</f>
        <v>240</v>
      </c>
      <c r="I13" s="31" t="n">
        <f aca="false">C13-H13</f>
        <v>410</v>
      </c>
      <c r="J13" s="32" t="n">
        <f aca="false">IFERROR(I13/C13,0)</f>
        <v>0.630769230769231</v>
      </c>
    </row>
    <row r="14" customFormat="false" ht="15" hidden="false" customHeight="false" outlineLevel="0" collapsed="false">
      <c r="A14" s="21" t="s">
        <v>58</v>
      </c>
      <c r="B14" s="22" t="str">
        <f aca="false">INDEX('SKU Catalog'!$C$6:$C$21,MATCH(A14,'SKU Catalog'!$A$6:$A$21,0))</f>
        <v>Infrastructure Add-on</v>
      </c>
      <c r="C14" s="23" t="n">
        <f aca="false">AVERAGE(INDEX('SKU Catalog'!$F$6:$F$21,MATCH(A14,'SKU Catalog'!$A$6:$A$21,0)),INDEX('SKU Catalog'!$G$6:$G$21,MATCH(A14,'SKU Catalog'!$A$6:$A$21,0)))</f>
        <v>850</v>
      </c>
      <c r="D14" s="24" t="n">
        <v>2</v>
      </c>
      <c r="E14" s="24" t="n">
        <v>75</v>
      </c>
      <c r="F14" s="25" t="n">
        <f aca="false">D14*E14</f>
        <v>150</v>
      </c>
      <c r="G14" s="26" t="n">
        <v>110</v>
      </c>
      <c r="H14" s="25" t="n">
        <f aca="false">F14+G14</f>
        <v>260</v>
      </c>
      <c r="I14" s="25" t="n">
        <f aca="false">C14-H14</f>
        <v>590</v>
      </c>
      <c r="J14" s="27" t="n">
        <f aca="false">IFERROR(I14/C14,0)</f>
        <v>0.694117647058824</v>
      </c>
    </row>
    <row r="15" customFormat="false" ht="15" hidden="false" customHeight="false" outlineLevel="0" collapsed="false">
      <c r="A15" s="28" t="s">
        <v>63</v>
      </c>
      <c r="B15" s="29" t="str">
        <f aca="false">INDEX('SKU Catalog'!$C$6:$C$21,MATCH(A15,'SKU Catalog'!$A$6:$A$21,0))</f>
        <v>Infrastructure Add-on</v>
      </c>
      <c r="C15" s="30" t="n">
        <f aca="false">AVERAGE(INDEX('SKU Catalog'!$F$6:$F$21,MATCH(A15,'SKU Catalog'!$A$6:$A$21,0)),INDEX('SKU Catalog'!$G$6:$G$21,MATCH(A15,'SKU Catalog'!$A$6:$A$21,0)))</f>
        <v>1400</v>
      </c>
      <c r="D15" s="24" t="n">
        <v>3</v>
      </c>
      <c r="E15" s="24" t="n">
        <v>75</v>
      </c>
      <c r="F15" s="31" t="n">
        <f aca="false">D15*E15</f>
        <v>225</v>
      </c>
      <c r="G15" s="26" t="n">
        <v>180</v>
      </c>
      <c r="H15" s="31" t="n">
        <f aca="false">F15+G15</f>
        <v>405</v>
      </c>
      <c r="I15" s="31" t="n">
        <f aca="false">C15-H15</f>
        <v>995</v>
      </c>
      <c r="J15" s="32" t="n">
        <f aca="false">IFERROR(I15/C15,0)</f>
        <v>0.710714285714286</v>
      </c>
    </row>
    <row r="16" customFormat="false" ht="15" hidden="false" customHeight="false" outlineLevel="0" collapsed="false">
      <c r="A16" s="21" t="s">
        <v>68</v>
      </c>
      <c r="B16" s="22" t="str">
        <f aca="false">INDEX('SKU Catalog'!$C$6:$C$21,MATCH(A16,'SKU Catalog'!$A$6:$A$21,0))</f>
        <v>Infrastructure Add-on</v>
      </c>
      <c r="C16" s="23" t="n">
        <f aca="false">AVERAGE(INDEX('SKU Catalog'!$F$6:$F$21,MATCH(A16,'SKU Catalog'!$A$6:$A$21,0)),INDEX('SKU Catalog'!$G$6:$G$21,MATCH(A16,'SKU Catalog'!$A$6:$A$21,0)))</f>
        <v>2850</v>
      </c>
      <c r="D16" s="24" t="n">
        <v>4</v>
      </c>
      <c r="E16" s="24" t="n">
        <v>75</v>
      </c>
      <c r="F16" s="25" t="n">
        <f aca="false">D16*E16</f>
        <v>300</v>
      </c>
      <c r="G16" s="26" t="n">
        <v>260</v>
      </c>
      <c r="H16" s="25" t="n">
        <f aca="false">F16+G16</f>
        <v>560</v>
      </c>
      <c r="I16" s="25" t="n">
        <f aca="false">C16-H16</f>
        <v>2290</v>
      </c>
      <c r="J16" s="27" t="n">
        <f aca="false">IFERROR(I16/C16,0)</f>
        <v>0.803508771929825</v>
      </c>
    </row>
    <row r="17" customFormat="false" ht="15" hidden="false" customHeight="false" outlineLevel="0" collapsed="false">
      <c r="A17" s="28" t="s">
        <v>92</v>
      </c>
      <c r="B17" s="29" t="str">
        <f aca="false">INDEX('SKU Catalog'!$C$6:$C$21,MATCH(A17,'SKU Catalog'!$A$6:$A$21,0))</f>
        <v>Validation Tier</v>
      </c>
      <c r="C17" s="30" t="n">
        <f aca="false">AVERAGE(INDEX('SKU Catalog'!$F$6:$F$21,MATCH(A17,'SKU Catalog'!$A$6:$A$21,0)),INDEX('SKU Catalog'!$G$6:$G$21,MATCH(A17,'SKU Catalog'!$A$6:$A$21,0)))</f>
        <v>124</v>
      </c>
      <c r="D17" s="24" t="n">
        <v>0.5</v>
      </c>
      <c r="E17" s="24" t="n">
        <v>75</v>
      </c>
      <c r="F17" s="31" t="n">
        <f aca="false">D17*E17</f>
        <v>37.5</v>
      </c>
      <c r="G17" s="26" t="n">
        <v>5</v>
      </c>
      <c r="H17" s="31" t="n">
        <f aca="false">F17+G17</f>
        <v>42.5</v>
      </c>
      <c r="I17" s="31" t="n">
        <f aca="false">C17-H17</f>
        <v>81.5</v>
      </c>
      <c r="J17" s="32" t="n">
        <f aca="false">IFERROR(I17/C17,0)</f>
        <v>0.657258064516129</v>
      </c>
    </row>
    <row r="19" customFormat="false" ht="22.35" hidden="false" customHeight="true" outlineLevel="0" collapsed="false">
      <c r="A19" s="20" t="s">
        <v>144</v>
      </c>
      <c r="B19" s="20"/>
      <c r="C19" s="20"/>
      <c r="D19" s="20"/>
      <c r="E19" s="20"/>
      <c r="F19" s="20"/>
      <c r="G19" s="20"/>
      <c r="H19" s="20"/>
      <c r="I19" s="20"/>
      <c r="J19" s="20"/>
    </row>
  </sheetData>
  <mergeCells count="1"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33" t="s">
        <v>0</v>
      </c>
    </row>
    <row r="2" customFormat="false" ht="21.75" hidden="false" customHeight="true" outlineLevel="0" collapsed="false">
      <c r="A2" s="34" t="s">
        <v>145</v>
      </c>
    </row>
    <row r="3" customFormat="false" ht="21.75" hidden="false" customHeight="true" outlineLevel="0" collapsed="false">
      <c r="A3" s="3" t="s">
        <v>146</v>
      </c>
    </row>
    <row r="4" customFormat="false" ht="21.75" hidden="false" customHeight="true" outlineLevel="0" collapsed="false"/>
    <row r="5" customFormat="false" ht="21.75" hidden="false" customHeight="true" outlineLevel="0" collapsed="false">
      <c r="A5" s="35" t="s">
        <v>147</v>
      </c>
    </row>
    <row r="6" customFormat="false" ht="21.75" hidden="false" customHeight="true" outlineLevel="0" collapsed="false">
      <c r="A6" s="5" t="s">
        <v>148</v>
      </c>
      <c r="B6" s="36" t="s">
        <v>149</v>
      </c>
      <c r="C6" s="6" t="s">
        <v>150</v>
      </c>
    </row>
    <row r="7" customFormat="false" ht="21.75" hidden="false" customHeight="true" outlineLevel="0" collapsed="false">
      <c r="A7" s="5" t="s">
        <v>151</v>
      </c>
      <c r="B7" s="36" t="s">
        <v>152</v>
      </c>
      <c r="C7" s="6" t="s">
        <v>153</v>
      </c>
    </row>
    <row r="8" customFormat="false" ht="21.75" hidden="false" customHeight="true" outlineLevel="0" collapsed="false"/>
    <row r="9" customFormat="false" ht="21.75" hidden="false" customHeight="true" outlineLevel="0" collapsed="false">
      <c r="A9" s="35" t="s">
        <v>154</v>
      </c>
    </row>
    <row r="10" customFormat="false" ht="21.75" hidden="false" customHeight="true" outlineLevel="0" collapsed="false">
      <c r="A10" s="5" t="s">
        <v>155</v>
      </c>
      <c r="B10" s="36" t="s">
        <v>156</v>
      </c>
      <c r="C10" s="6" t="s">
        <v>157</v>
      </c>
    </row>
    <row r="11" customFormat="false" ht="21.75" hidden="false" customHeight="true" outlineLevel="0" collapsed="false">
      <c r="A11" s="5" t="s">
        <v>151</v>
      </c>
      <c r="B11" s="36" t="s">
        <v>158</v>
      </c>
      <c r="C11" s="6" t="s">
        <v>159</v>
      </c>
    </row>
    <row r="12" customFormat="false" ht="21.75" hidden="false" customHeight="true" outlineLevel="0" collapsed="false"/>
    <row r="13" customFormat="false" ht="21.75" hidden="false" customHeight="true" outlineLevel="0" collapsed="false">
      <c r="A13" s="35" t="s">
        <v>160</v>
      </c>
    </row>
    <row r="14" customFormat="false" ht="21.75" hidden="false" customHeight="true" outlineLevel="0" collapsed="false">
      <c r="A14" s="5" t="s">
        <v>155</v>
      </c>
      <c r="B14" s="36" t="s">
        <v>161</v>
      </c>
      <c r="C14" s="6" t="s">
        <v>162</v>
      </c>
    </row>
    <row r="15" customFormat="false" ht="21.75" hidden="false" customHeight="true" outlineLevel="0" collapsed="false">
      <c r="A15" s="5" t="s">
        <v>163</v>
      </c>
      <c r="B15" s="36" t="s">
        <v>164</v>
      </c>
      <c r="C15" s="6" t="s">
        <v>165</v>
      </c>
    </row>
    <row r="16" customFormat="false" ht="21.75" hidden="false" customHeight="true" outlineLevel="0" collapsed="false">
      <c r="A16" s="5" t="s">
        <v>166</v>
      </c>
      <c r="B16" s="36" t="s">
        <v>167</v>
      </c>
      <c r="C16" s="6" t="s">
        <v>168</v>
      </c>
    </row>
    <row r="17" customFormat="false" ht="21.75" hidden="false" customHeight="true" outlineLevel="0" collapsed="false"/>
    <row r="18" customFormat="false" ht="21.75" hidden="false" customHeight="true" outlineLevel="0" collapsed="false">
      <c r="A18" s="35" t="s">
        <v>169</v>
      </c>
    </row>
    <row r="19" customFormat="false" ht="21.75" hidden="false" customHeight="true" outlineLevel="0" collapsed="false">
      <c r="A19" s="5" t="s">
        <v>170</v>
      </c>
      <c r="B19" s="36" t="s">
        <v>171</v>
      </c>
      <c r="C19" s="6" t="s">
        <v>172</v>
      </c>
    </row>
    <row r="20" customFormat="false" ht="21.75" hidden="false" customHeight="true" outlineLevel="0" collapsed="false">
      <c r="A20" s="5" t="s">
        <v>173</v>
      </c>
      <c r="B20" s="36" t="s">
        <v>174</v>
      </c>
      <c r="C20" s="6" t="s">
        <v>175</v>
      </c>
    </row>
    <row r="21" customFormat="false" ht="21.75" hidden="false" customHeight="true" outlineLevel="0" collapsed="false">
      <c r="A21" s="5" t="s">
        <v>176</v>
      </c>
      <c r="B21" s="36" t="s">
        <v>177</v>
      </c>
      <c r="C21" s="6" t="s">
        <v>178</v>
      </c>
    </row>
    <row r="22" customFormat="false" ht="21.75" hidden="false" customHeight="true" outlineLevel="0" collapsed="false">
      <c r="A22" s="5" t="s">
        <v>179</v>
      </c>
      <c r="B22" s="36" t="s">
        <v>180</v>
      </c>
      <c r="C22" s="6" t="s">
        <v>181</v>
      </c>
    </row>
    <row r="23" customFormat="false" ht="21.75" hidden="false" customHeight="true" outlineLevel="0" collapsed="false"/>
    <row r="24" customFormat="false" ht="21.75" hidden="false" customHeight="true" outlineLevel="0" collapsed="false">
      <c r="A24" s="35" t="s">
        <v>182</v>
      </c>
    </row>
    <row r="25" customFormat="false" ht="21.75" hidden="false" customHeight="true" outlineLevel="0" collapsed="false">
      <c r="A25" s="5" t="s">
        <v>183</v>
      </c>
      <c r="B25" s="36" t="s">
        <v>76</v>
      </c>
      <c r="C25" s="6" t="s">
        <v>184</v>
      </c>
    </row>
    <row r="26" customFormat="false" ht="21.75" hidden="false" customHeight="true" outlineLevel="0" collapsed="false">
      <c r="A26" s="5" t="s">
        <v>185</v>
      </c>
      <c r="B26" s="36" t="s">
        <v>186</v>
      </c>
      <c r="C26" s="6" t="s">
        <v>187</v>
      </c>
    </row>
    <row r="27" customFormat="false" ht="21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2026-09-05T19:19:32Z</dcterms:created>
  <dc:creator>openpyxl</dc:creator>
  <dc:description/>
  <dc:language>en-US</dc:language>
  <cp:lastModifiedBy/>
  <dcterms:modified xsi:type="dcterms:W3CDTF">2026-09-05T19:19:32Z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